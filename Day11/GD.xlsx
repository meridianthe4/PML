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  <sheet state="visible" name="Sheet4" sheetId="4" r:id="rId7"/>
    <sheet state="visible" name="Sheet5" sheetId="5" r:id="rId8"/>
    <sheet state="visible" name="Sheet6" sheetId="6" r:id="rId9"/>
    <sheet state="visible" name="Sheet7" sheetId="7" r:id="rId10"/>
    <sheet state="visible" name="Sheet8" sheetId="8" r:id="rId11"/>
    <sheet state="visible" name="Sheet9" sheetId="9" r:id="rId12"/>
    <sheet state="visible" name="Sheet10" sheetId="10" r:id="rId13"/>
  </sheets>
  <definedNames/>
  <calcPr/>
</workbook>
</file>

<file path=xl/sharedStrings.xml><?xml version="1.0" encoding="utf-8"?>
<sst xmlns="http://schemas.openxmlformats.org/spreadsheetml/2006/main" count="140" uniqueCount="14">
  <si>
    <t>X</t>
  </si>
  <si>
    <t>Y</t>
  </si>
  <si>
    <t>y_pred</t>
  </si>
  <si>
    <t>error^2</t>
  </si>
  <si>
    <t>error</t>
  </si>
  <si>
    <t>error*x</t>
  </si>
  <si>
    <t>w</t>
  </si>
  <si>
    <t>loss</t>
  </si>
  <si>
    <t>dw</t>
  </si>
  <si>
    <t>new w</t>
  </si>
  <si>
    <t>b</t>
  </si>
  <si>
    <t>eta</t>
  </si>
  <si>
    <t>db</t>
  </si>
  <si>
    <t>new 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</si>
</sst>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>
      <c r="A2" s="1">
        <v>0.2</v>
      </c>
      <c r="B2" s="1">
        <v>5.6</v>
      </c>
      <c r="D2" s="2">
        <f t="shared" ref="D2:D8" si="1">($B$10*A2)+$B$11</f>
        <v>0.16</v>
      </c>
      <c r="E2" s="2">
        <f t="shared" ref="E2:E8" si="2">F2*F2</f>
        <v>29.5936</v>
      </c>
      <c r="F2" s="2">
        <f t="shared" ref="F2:F8" si="3">B2-D2</f>
        <v>5.44</v>
      </c>
      <c r="G2" s="2">
        <f t="shared" ref="G2:G8" si="4">F2*A2</f>
        <v>1.088</v>
      </c>
    </row>
    <row r="3">
      <c r="A3" s="1">
        <v>1.2</v>
      </c>
      <c r="B3" s="1">
        <v>8.6</v>
      </c>
      <c r="D3" s="2">
        <f t="shared" si="1"/>
        <v>0.46</v>
      </c>
      <c r="E3" s="2">
        <f t="shared" si="2"/>
        <v>66.2596</v>
      </c>
      <c r="F3" s="2">
        <f t="shared" si="3"/>
        <v>8.14</v>
      </c>
      <c r="G3" s="2">
        <f t="shared" si="4"/>
        <v>9.768</v>
      </c>
    </row>
    <row r="4">
      <c r="A4" s="1">
        <v>1.0</v>
      </c>
      <c r="B4" s="1">
        <v>8.0</v>
      </c>
      <c r="D4" s="2">
        <f t="shared" si="1"/>
        <v>0.4</v>
      </c>
      <c r="E4" s="2">
        <f t="shared" si="2"/>
        <v>57.76</v>
      </c>
      <c r="F4" s="2">
        <f t="shared" si="3"/>
        <v>7.6</v>
      </c>
      <c r="G4" s="2">
        <f t="shared" si="4"/>
        <v>7.6</v>
      </c>
    </row>
    <row r="5">
      <c r="A5" s="1">
        <v>1.4</v>
      </c>
      <c r="B5" s="1">
        <v>9.2</v>
      </c>
      <c r="D5" s="2">
        <f t="shared" si="1"/>
        <v>0.52</v>
      </c>
      <c r="E5" s="2">
        <f t="shared" si="2"/>
        <v>75.3424</v>
      </c>
      <c r="F5" s="2">
        <f t="shared" si="3"/>
        <v>8.68</v>
      </c>
      <c r="G5" s="2">
        <f t="shared" si="4"/>
        <v>12.152</v>
      </c>
    </row>
    <row r="6">
      <c r="A6" s="1">
        <v>-1.5</v>
      </c>
      <c r="B6" s="1">
        <v>0.5</v>
      </c>
      <c r="D6" s="2">
        <f t="shared" si="1"/>
        <v>-0.35</v>
      </c>
      <c r="E6" s="2">
        <f t="shared" si="2"/>
        <v>0.7225</v>
      </c>
      <c r="F6" s="2">
        <f t="shared" si="3"/>
        <v>0.85</v>
      </c>
      <c r="G6" s="2">
        <f t="shared" si="4"/>
        <v>-1.275</v>
      </c>
    </row>
    <row r="7">
      <c r="A7" s="1">
        <v>0.5</v>
      </c>
      <c r="B7" s="1">
        <v>6.5</v>
      </c>
      <c r="D7" s="2">
        <f t="shared" si="1"/>
        <v>0.25</v>
      </c>
      <c r="E7" s="2">
        <f t="shared" si="2"/>
        <v>39.0625</v>
      </c>
      <c r="F7" s="2">
        <f t="shared" si="3"/>
        <v>6.25</v>
      </c>
      <c r="G7" s="2">
        <f t="shared" si="4"/>
        <v>3.125</v>
      </c>
    </row>
    <row r="8">
      <c r="A8" s="1">
        <v>-0.5</v>
      </c>
      <c r="B8" s="1">
        <v>3.5</v>
      </c>
      <c r="D8" s="2">
        <f t="shared" si="1"/>
        <v>-0.05</v>
      </c>
      <c r="E8" s="2">
        <f t="shared" si="2"/>
        <v>12.6025</v>
      </c>
      <c r="F8" s="2">
        <f t="shared" si="3"/>
        <v>3.55</v>
      </c>
      <c r="G8" s="2">
        <f t="shared" si="4"/>
        <v>-1.775</v>
      </c>
    </row>
    <row r="10">
      <c r="A10" s="1" t="s">
        <v>6</v>
      </c>
      <c r="B10" s="1">
        <v>0.3</v>
      </c>
      <c r="C10" s="1" t="s">
        <v>7</v>
      </c>
      <c r="D10" s="2">
        <f>AVERAGE(E2:E8)/2</f>
        <v>20.09593571</v>
      </c>
      <c r="E10" s="1" t="s">
        <v>8</v>
      </c>
      <c r="F10" s="2">
        <f>-AVERAGE(G2:G8)</f>
        <v>-4.383285714</v>
      </c>
      <c r="G10" s="1" t="s">
        <v>9</v>
      </c>
      <c r="H10" s="2">
        <f>B10 - (D11*F10)</f>
        <v>1.176657143</v>
      </c>
    </row>
    <row r="11">
      <c r="A11" s="1" t="s">
        <v>10</v>
      </c>
      <c r="B11" s="1">
        <v>0.1</v>
      </c>
      <c r="C11" s="1" t="s">
        <v>11</v>
      </c>
      <c r="D11" s="1">
        <v>0.2</v>
      </c>
      <c r="E11" s="1" t="s">
        <v>12</v>
      </c>
      <c r="F11" s="2">
        <f>-AVERAGE(F2:F8)</f>
        <v>-5.787142857</v>
      </c>
      <c r="G11" s="1" t="s">
        <v>13</v>
      </c>
      <c r="H11" s="2">
        <f>B11 - (D11*F11)</f>
        <v>1.257428571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>
      <c r="A2" s="1">
        <v>0.2</v>
      </c>
      <c r="B2" s="1">
        <v>5.6</v>
      </c>
      <c r="D2" s="2">
        <f t="shared" ref="D2:D8" si="1">($B$10*A2)+$B$11</f>
        <v>1.49276</v>
      </c>
      <c r="E2" s="2">
        <f t="shared" ref="E2:E8" si="2">F2*F2</f>
        <v>16.86942042</v>
      </c>
      <c r="F2" s="2">
        <f t="shared" ref="F2:F8" si="3">B2-D2</f>
        <v>4.10724</v>
      </c>
      <c r="G2" s="2">
        <f t="shared" ref="G2:G8" si="4">F2*A2</f>
        <v>0.821448</v>
      </c>
    </row>
    <row r="3">
      <c r="A3" s="1">
        <v>1.2</v>
      </c>
      <c r="B3" s="1">
        <v>8.6</v>
      </c>
      <c r="D3" s="2">
        <f t="shared" si="1"/>
        <v>2.669417143</v>
      </c>
      <c r="E3" s="2">
        <f t="shared" si="2"/>
        <v>35.17181303</v>
      </c>
      <c r="F3" s="2">
        <f t="shared" si="3"/>
        <v>5.930582857</v>
      </c>
      <c r="G3" s="2">
        <f t="shared" si="4"/>
        <v>7.116699429</v>
      </c>
    </row>
    <row r="4">
      <c r="A4" s="1">
        <v>1.0</v>
      </c>
      <c r="B4" s="1">
        <v>8.0</v>
      </c>
      <c r="D4" s="2">
        <f t="shared" si="1"/>
        <v>2.434085714</v>
      </c>
      <c r="E4" s="2">
        <f t="shared" si="2"/>
        <v>30.97940184</v>
      </c>
      <c r="F4" s="2">
        <f t="shared" si="3"/>
        <v>5.565914286</v>
      </c>
      <c r="G4" s="2">
        <f t="shared" si="4"/>
        <v>5.565914286</v>
      </c>
    </row>
    <row r="5">
      <c r="A5" s="1">
        <v>1.4</v>
      </c>
      <c r="B5" s="1">
        <v>9.2</v>
      </c>
      <c r="D5" s="2">
        <f t="shared" si="1"/>
        <v>2.904748571</v>
      </c>
      <c r="E5" s="2">
        <f t="shared" si="2"/>
        <v>39.63019055</v>
      </c>
      <c r="F5" s="2">
        <f t="shared" si="3"/>
        <v>6.295251429</v>
      </c>
      <c r="G5" s="2">
        <f t="shared" si="4"/>
        <v>8.813352</v>
      </c>
    </row>
    <row r="6">
      <c r="A6" s="1">
        <v>-1.5</v>
      </c>
      <c r="B6" s="1">
        <v>0.5</v>
      </c>
      <c r="D6" s="2">
        <f t="shared" si="1"/>
        <v>-0.5075571429</v>
      </c>
      <c r="E6" s="2">
        <f t="shared" si="2"/>
        <v>1.015171396</v>
      </c>
      <c r="F6" s="2">
        <f t="shared" si="3"/>
        <v>1.007557143</v>
      </c>
      <c r="G6" s="2">
        <f t="shared" si="4"/>
        <v>-1.511335714</v>
      </c>
    </row>
    <row r="7">
      <c r="A7" s="1">
        <v>0.5</v>
      </c>
      <c r="B7" s="1">
        <v>6.5</v>
      </c>
      <c r="D7" s="2">
        <f t="shared" si="1"/>
        <v>1.845757143</v>
      </c>
      <c r="E7" s="2">
        <f t="shared" si="2"/>
        <v>21.66197657</v>
      </c>
      <c r="F7" s="2">
        <f t="shared" si="3"/>
        <v>4.654242857</v>
      </c>
      <c r="G7" s="2">
        <f t="shared" si="4"/>
        <v>2.327121429</v>
      </c>
    </row>
    <row r="8">
      <c r="A8" s="1">
        <v>-0.5</v>
      </c>
      <c r="B8" s="1">
        <v>3.5</v>
      </c>
      <c r="D8" s="2">
        <f t="shared" si="1"/>
        <v>0.6691</v>
      </c>
      <c r="E8" s="2">
        <f t="shared" si="2"/>
        <v>8.01399481</v>
      </c>
      <c r="F8" s="2">
        <f t="shared" si="3"/>
        <v>2.8309</v>
      </c>
      <c r="G8" s="2">
        <f t="shared" si="4"/>
        <v>-1.41545</v>
      </c>
    </row>
    <row r="10">
      <c r="A10" s="1" t="s">
        <v>6</v>
      </c>
      <c r="B10" s="2">
        <v>1.1766571428571428</v>
      </c>
      <c r="C10" s="1" t="s">
        <v>7</v>
      </c>
      <c r="D10" s="2">
        <f>AVERAGE(E2:E8)/2</f>
        <v>10.95299776</v>
      </c>
      <c r="E10" s="1" t="s">
        <v>8</v>
      </c>
      <c r="F10" s="2">
        <f>-AVERAGE(G2:G8)</f>
        <v>-3.102535633</v>
      </c>
      <c r="G10" s="1" t="s">
        <v>9</v>
      </c>
      <c r="H10" s="2">
        <f>B10 - (D11*F10)</f>
        <v>1.797164269</v>
      </c>
    </row>
    <row r="11">
      <c r="A11" s="1" t="s">
        <v>10</v>
      </c>
      <c r="B11" s="2">
        <v>1.2574285714285713</v>
      </c>
      <c r="C11" s="1" t="s">
        <v>11</v>
      </c>
      <c r="D11" s="1">
        <v>0.2</v>
      </c>
      <c r="E11" s="1" t="s">
        <v>12</v>
      </c>
      <c r="F11" s="2">
        <f>-AVERAGE(F2:F8)</f>
        <v>-4.341669796</v>
      </c>
      <c r="G11" s="1" t="s">
        <v>13</v>
      </c>
      <c r="H11" s="2">
        <f>B11 - (D11*F11)</f>
        <v>2.125762531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>
      <c r="A2" s="1">
        <v>0.2</v>
      </c>
      <c r="B2" s="1">
        <v>5.6</v>
      </c>
      <c r="D2" s="2">
        <f t="shared" ref="D2:D8" si="1">($B$10*A2)+$B$11</f>
        <v>2.485195384</v>
      </c>
      <c r="E2" s="2">
        <f t="shared" ref="E2:E8" si="2">F2*F2</f>
        <v>9.702007793</v>
      </c>
      <c r="F2" s="2">
        <f t="shared" ref="F2:F8" si="3">B2-D2</f>
        <v>3.114804616</v>
      </c>
      <c r="G2" s="2">
        <f t="shared" ref="G2:G8" si="4">F2*A2</f>
        <v>0.6229609231</v>
      </c>
    </row>
    <row r="3">
      <c r="A3" s="1">
        <v>1.2</v>
      </c>
      <c r="B3" s="1">
        <v>8.6</v>
      </c>
      <c r="D3" s="2">
        <f t="shared" si="1"/>
        <v>4.282359654</v>
      </c>
      <c r="E3" s="2">
        <f t="shared" si="2"/>
        <v>18.64201816</v>
      </c>
      <c r="F3" s="2">
        <f t="shared" si="3"/>
        <v>4.317640346</v>
      </c>
      <c r="G3" s="2">
        <f t="shared" si="4"/>
        <v>5.181168415</v>
      </c>
    </row>
    <row r="4">
      <c r="A4" s="1">
        <v>1.0</v>
      </c>
      <c r="B4" s="1">
        <v>8.0</v>
      </c>
      <c r="D4" s="2">
        <f t="shared" si="1"/>
        <v>3.9229268</v>
      </c>
      <c r="E4" s="2">
        <f t="shared" si="2"/>
        <v>16.62252588</v>
      </c>
      <c r="F4" s="2">
        <f t="shared" si="3"/>
        <v>4.0770732</v>
      </c>
      <c r="G4" s="2">
        <f t="shared" si="4"/>
        <v>4.0770732</v>
      </c>
    </row>
    <row r="5">
      <c r="A5" s="1">
        <v>1.4</v>
      </c>
      <c r="B5" s="1">
        <v>9.2</v>
      </c>
      <c r="D5" s="2">
        <f t="shared" si="1"/>
        <v>4.641792508</v>
      </c>
      <c r="E5" s="2">
        <f t="shared" si="2"/>
        <v>20.77725554</v>
      </c>
      <c r="F5" s="2">
        <f t="shared" si="3"/>
        <v>4.558207492</v>
      </c>
      <c r="G5" s="2">
        <f t="shared" si="4"/>
        <v>6.381490489</v>
      </c>
    </row>
    <row r="6">
      <c r="A6" s="1">
        <v>-1.5</v>
      </c>
      <c r="B6" s="1">
        <v>0.5</v>
      </c>
      <c r="D6" s="2">
        <f t="shared" si="1"/>
        <v>-0.5699838735</v>
      </c>
      <c r="E6" s="2">
        <f t="shared" si="2"/>
        <v>1.144865489</v>
      </c>
      <c r="F6" s="2">
        <f t="shared" si="3"/>
        <v>1.069983873</v>
      </c>
      <c r="G6" s="2">
        <f t="shared" si="4"/>
        <v>-1.60497581</v>
      </c>
    </row>
    <row r="7">
      <c r="A7" s="1">
        <v>0.5</v>
      </c>
      <c r="B7" s="1">
        <v>6.5</v>
      </c>
      <c r="D7" s="2">
        <f t="shared" si="1"/>
        <v>3.024344665</v>
      </c>
      <c r="E7" s="2">
        <f t="shared" si="2"/>
        <v>12.08018001</v>
      </c>
      <c r="F7" s="2">
        <f t="shared" si="3"/>
        <v>3.475655335</v>
      </c>
      <c r="G7" s="2">
        <f t="shared" si="4"/>
        <v>1.737827667</v>
      </c>
    </row>
    <row r="8">
      <c r="A8" s="1">
        <v>-0.5</v>
      </c>
      <c r="B8" s="1">
        <v>3.5</v>
      </c>
      <c r="D8" s="2">
        <f t="shared" si="1"/>
        <v>1.227180396</v>
      </c>
      <c r="E8" s="2">
        <f t="shared" si="2"/>
        <v>5.165708953</v>
      </c>
      <c r="F8" s="2">
        <f t="shared" si="3"/>
        <v>2.272819604</v>
      </c>
      <c r="G8" s="2">
        <f t="shared" si="4"/>
        <v>-1.136409802</v>
      </c>
    </row>
    <row r="10">
      <c r="A10" s="1" t="s">
        <v>6</v>
      </c>
      <c r="B10" s="2">
        <v>1.7971642693877552</v>
      </c>
      <c r="C10" s="1" t="s">
        <v>7</v>
      </c>
      <c r="D10" s="2">
        <f>AVERAGE(E2:E8)/2</f>
        <v>6.009611559</v>
      </c>
      <c r="E10" s="1" t="s">
        <v>8</v>
      </c>
      <c r="F10" s="2">
        <f>-AVERAGE(G2:G8)</f>
        <v>-2.17987644</v>
      </c>
      <c r="G10" s="1" t="s">
        <v>9</v>
      </c>
      <c r="H10" s="2">
        <f>B10 - (D11*F10)</f>
        <v>2.233139557</v>
      </c>
    </row>
    <row r="11">
      <c r="A11" s="1" t="s">
        <v>10</v>
      </c>
      <c r="B11" s="2">
        <v>2.1257625306122447</v>
      </c>
      <c r="C11" s="1" t="s">
        <v>11</v>
      </c>
      <c r="D11" s="1">
        <v>0.2</v>
      </c>
      <c r="E11" s="1" t="s">
        <v>12</v>
      </c>
      <c r="F11" s="2">
        <f>-AVERAGE(F2:F8)</f>
        <v>-3.269454924</v>
      </c>
      <c r="G11" s="1" t="s">
        <v>13</v>
      </c>
      <c r="H11" s="2">
        <f>B11 - (D11*F11)</f>
        <v>2.779653515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>
      <c r="A2" s="1">
        <v>0.2</v>
      </c>
      <c r="B2" s="1">
        <v>5.6</v>
      </c>
      <c r="D2" s="2">
        <f t="shared" ref="D2:D8" si="1">($B$10*A2)+$B$11</f>
        <v>3.226281427</v>
      </c>
      <c r="E2" s="2">
        <f t="shared" ref="E2:E8" si="2">F2*F2</f>
        <v>5.634539865</v>
      </c>
      <c r="F2" s="2">
        <f t="shared" ref="F2:F8" si="3">B2-D2</f>
        <v>2.373718573</v>
      </c>
      <c r="G2" s="2">
        <f t="shared" ref="G2:G8" si="4">F2*A2</f>
        <v>0.4747437146</v>
      </c>
    </row>
    <row r="3">
      <c r="A3" s="1">
        <v>1.2</v>
      </c>
      <c r="B3" s="1">
        <v>8.6</v>
      </c>
      <c r="D3" s="2">
        <f t="shared" si="1"/>
        <v>5.459420984</v>
      </c>
      <c r="E3" s="2">
        <f t="shared" si="2"/>
        <v>9.863236554</v>
      </c>
      <c r="F3" s="2">
        <f t="shared" si="3"/>
        <v>3.140579016</v>
      </c>
      <c r="G3" s="2">
        <f t="shared" si="4"/>
        <v>3.768694819</v>
      </c>
    </row>
    <row r="4">
      <c r="A4" s="1">
        <v>1.0</v>
      </c>
      <c r="B4" s="1">
        <v>8.0</v>
      </c>
      <c r="D4" s="2">
        <f t="shared" si="1"/>
        <v>5.012793073</v>
      </c>
      <c r="E4" s="2">
        <f t="shared" si="2"/>
        <v>8.923405226</v>
      </c>
      <c r="F4" s="2">
        <f t="shared" si="3"/>
        <v>2.987206927</v>
      </c>
      <c r="G4" s="2">
        <f t="shared" si="4"/>
        <v>2.987206927</v>
      </c>
    </row>
    <row r="5">
      <c r="A5" s="1">
        <v>1.4</v>
      </c>
      <c r="B5" s="1">
        <v>9.2</v>
      </c>
      <c r="D5" s="2">
        <f t="shared" si="1"/>
        <v>5.906048896</v>
      </c>
      <c r="E5" s="2">
        <f t="shared" si="2"/>
        <v>10.85011388</v>
      </c>
      <c r="F5" s="2">
        <f t="shared" si="3"/>
        <v>3.293951104</v>
      </c>
      <c r="G5" s="2">
        <f t="shared" si="4"/>
        <v>4.611531546</v>
      </c>
    </row>
    <row r="6">
      <c r="A6" s="1">
        <v>-1.5</v>
      </c>
      <c r="B6" s="1">
        <v>0.5</v>
      </c>
      <c r="D6" s="2">
        <f t="shared" si="1"/>
        <v>-0.5700558208</v>
      </c>
      <c r="E6" s="2">
        <f t="shared" si="2"/>
        <v>1.14501946</v>
      </c>
      <c r="F6" s="2">
        <f t="shared" si="3"/>
        <v>1.070055821</v>
      </c>
      <c r="G6" s="2">
        <f t="shared" si="4"/>
        <v>-1.605083731</v>
      </c>
    </row>
    <row r="7">
      <c r="A7" s="1">
        <v>0.5</v>
      </c>
      <c r="B7" s="1">
        <v>6.5</v>
      </c>
      <c r="D7" s="2">
        <f t="shared" si="1"/>
        <v>3.896223294</v>
      </c>
      <c r="E7" s="2">
        <f t="shared" si="2"/>
        <v>6.779653134</v>
      </c>
      <c r="F7" s="2">
        <f t="shared" si="3"/>
        <v>2.603776706</v>
      </c>
      <c r="G7" s="2">
        <f t="shared" si="4"/>
        <v>1.301888353</v>
      </c>
    </row>
    <row r="8">
      <c r="A8" s="1">
        <v>-0.5</v>
      </c>
      <c r="B8" s="1">
        <v>3.5</v>
      </c>
      <c r="D8" s="2">
        <f t="shared" si="1"/>
        <v>1.663083737</v>
      </c>
      <c r="E8" s="2">
        <f t="shared" si="2"/>
        <v>3.374261359</v>
      </c>
      <c r="F8" s="2">
        <f t="shared" si="3"/>
        <v>1.836916263</v>
      </c>
      <c r="G8" s="2">
        <f t="shared" si="4"/>
        <v>-0.9184581317</v>
      </c>
    </row>
    <row r="10">
      <c r="A10" s="1" t="s">
        <v>6</v>
      </c>
      <c r="B10" s="2">
        <v>2.2331395574647233</v>
      </c>
      <c r="C10" s="1" t="s">
        <v>7</v>
      </c>
      <c r="D10" s="2">
        <f>AVERAGE(E2:E8)/2</f>
        <v>3.326444962</v>
      </c>
      <c r="E10" s="1" t="s">
        <v>8</v>
      </c>
      <c r="F10" s="2">
        <f>-AVERAGE(G2:G8)</f>
        <v>-1.517217642</v>
      </c>
      <c r="G10" s="1" t="s">
        <v>9</v>
      </c>
      <c r="H10" s="2">
        <f>B10 - (D11*F10)</f>
        <v>2.536583086</v>
      </c>
    </row>
    <row r="11">
      <c r="A11" s="1" t="s">
        <v>10</v>
      </c>
      <c r="B11" s="2">
        <v>2.7796535153586004</v>
      </c>
      <c r="C11" s="1" t="s">
        <v>11</v>
      </c>
      <c r="D11" s="1">
        <v>0.2</v>
      </c>
      <c r="E11" s="1" t="s">
        <v>12</v>
      </c>
      <c r="F11" s="2">
        <f>-AVERAGE(F2:F8)</f>
        <v>-2.472314916</v>
      </c>
      <c r="G11" s="1" t="s">
        <v>13</v>
      </c>
      <c r="H11" s="2">
        <f>B11 - (D11*F11)</f>
        <v>3.274116499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>
      <c r="A2" s="1">
        <v>0.2</v>
      </c>
      <c r="B2" s="1">
        <v>5.6</v>
      </c>
      <c r="D2" s="2">
        <f t="shared" ref="D2:D8" si="1">($B$10*A2)+$B$11</f>
        <v>3.781433116</v>
      </c>
      <c r="E2" s="2">
        <f t="shared" ref="E2:E8" si="2">F2*F2</f>
        <v>3.307185513</v>
      </c>
      <c r="F2" s="2">
        <f t="shared" ref="F2:F8" si="3">B2-D2</f>
        <v>1.818566884</v>
      </c>
      <c r="G2" s="2">
        <f t="shared" ref="G2:G8" si="4">F2*A2</f>
        <v>0.3637133769</v>
      </c>
    </row>
    <row r="3">
      <c r="A3" s="1">
        <v>1.2</v>
      </c>
      <c r="B3" s="1">
        <v>8.6</v>
      </c>
      <c r="D3" s="2">
        <f t="shared" si="1"/>
        <v>6.318016202</v>
      </c>
      <c r="E3" s="2">
        <f t="shared" si="2"/>
        <v>5.207450056</v>
      </c>
      <c r="F3" s="2">
        <f t="shared" si="3"/>
        <v>2.281983798</v>
      </c>
      <c r="G3" s="2">
        <f t="shared" si="4"/>
        <v>2.738380558</v>
      </c>
    </row>
    <row r="4">
      <c r="A4" s="1">
        <v>1.0</v>
      </c>
      <c r="B4" s="1">
        <v>8.0</v>
      </c>
      <c r="D4" s="2">
        <f t="shared" si="1"/>
        <v>5.810699584</v>
      </c>
      <c r="E4" s="2">
        <f t="shared" si="2"/>
        <v>4.79303631</v>
      </c>
      <c r="F4" s="2">
        <f t="shared" si="3"/>
        <v>2.189300416</v>
      </c>
      <c r="G4" s="2">
        <f t="shared" si="4"/>
        <v>2.189300416</v>
      </c>
    </row>
    <row r="5">
      <c r="A5" s="1">
        <v>1.4</v>
      </c>
      <c r="B5" s="1">
        <v>9.2</v>
      </c>
      <c r="D5" s="2">
        <f t="shared" si="1"/>
        <v>6.825332819</v>
      </c>
      <c r="E5" s="2">
        <f t="shared" si="2"/>
        <v>5.639044221</v>
      </c>
      <c r="F5" s="2">
        <f t="shared" si="3"/>
        <v>2.374667181</v>
      </c>
      <c r="G5" s="2">
        <f t="shared" si="4"/>
        <v>3.324534054</v>
      </c>
    </row>
    <row r="6">
      <c r="A6" s="1">
        <v>-1.5</v>
      </c>
      <c r="B6" s="1">
        <v>0.5</v>
      </c>
      <c r="D6" s="2">
        <f t="shared" si="1"/>
        <v>-0.5307581304</v>
      </c>
      <c r="E6" s="2">
        <f t="shared" si="2"/>
        <v>1.062462323</v>
      </c>
      <c r="F6" s="2">
        <f t="shared" si="3"/>
        <v>1.03075813</v>
      </c>
      <c r="G6" s="2">
        <f t="shared" si="4"/>
        <v>-1.546137196</v>
      </c>
    </row>
    <row r="7">
      <c r="A7" s="1">
        <v>0.5</v>
      </c>
      <c r="B7" s="1">
        <v>6.5</v>
      </c>
      <c r="D7" s="2">
        <f t="shared" si="1"/>
        <v>4.542408041</v>
      </c>
      <c r="E7" s="2">
        <f t="shared" si="2"/>
        <v>3.832166276</v>
      </c>
      <c r="F7" s="2">
        <f t="shared" si="3"/>
        <v>1.957591959</v>
      </c>
      <c r="G7" s="2">
        <f t="shared" si="4"/>
        <v>0.9787959793</v>
      </c>
    </row>
    <row r="8">
      <c r="A8" s="1">
        <v>-0.5</v>
      </c>
      <c r="B8" s="1">
        <v>3.5</v>
      </c>
      <c r="D8" s="2">
        <f t="shared" si="1"/>
        <v>2.005824956</v>
      </c>
      <c r="E8" s="2">
        <f t="shared" si="2"/>
        <v>2.232559063</v>
      </c>
      <c r="F8" s="2">
        <f t="shared" si="3"/>
        <v>1.494175044</v>
      </c>
      <c r="G8" s="2">
        <f t="shared" si="4"/>
        <v>-0.7470875222</v>
      </c>
    </row>
    <row r="10">
      <c r="A10" s="1" t="s">
        <v>6</v>
      </c>
      <c r="B10" s="2">
        <v>2.536583085936262</v>
      </c>
      <c r="C10" s="1" t="s">
        <v>7</v>
      </c>
      <c r="D10" s="2">
        <f>AVERAGE(E2:E8)/2</f>
        <v>1.862421697</v>
      </c>
      <c r="E10" s="1" t="s">
        <v>8</v>
      </c>
      <c r="F10" s="2">
        <f>-AVERAGE(G2:G8)</f>
        <v>-1.043071381</v>
      </c>
      <c r="G10" s="1" t="s">
        <v>9</v>
      </c>
      <c r="H10" s="2">
        <f>B10 - (D11*F10)</f>
        <v>2.745197362</v>
      </c>
    </row>
    <row r="11">
      <c r="A11" s="1" t="s">
        <v>10</v>
      </c>
      <c r="B11" s="2">
        <v>3.274116498510627</v>
      </c>
      <c r="C11" s="1" t="s">
        <v>11</v>
      </c>
      <c r="D11" s="1">
        <v>0.2</v>
      </c>
      <c r="E11" s="1" t="s">
        <v>12</v>
      </c>
      <c r="F11" s="2">
        <f>-AVERAGE(F2:F8)</f>
        <v>-1.878149059</v>
      </c>
      <c r="G11" s="1" t="s">
        <v>13</v>
      </c>
      <c r="H11" s="2">
        <f>B11 - (D11*F11)</f>
        <v>3.64974631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>
      <c r="A2" s="1">
        <v>0.2</v>
      </c>
      <c r="B2" s="1">
        <v>5.6</v>
      </c>
      <c r="D2" s="2">
        <f t="shared" ref="D2:D8" si="1">($B$10*A2)+$B$11</f>
        <v>4.198785783</v>
      </c>
      <c r="E2" s="2">
        <f t="shared" ref="E2:E8" si="2">F2*F2</f>
        <v>1.963401283</v>
      </c>
      <c r="F2" s="2">
        <f t="shared" ref="F2:F8" si="3">B2-D2</f>
        <v>1.401214217</v>
      </c>
      <c r="G2" s="2">
        <f t="shared" ref="G2:G8" si="4">F2*A2</f>
        <v>0.2802428435</v>
      </c>
    </row>
    <row r="3">
      <c r="A3" s="1">
        <v>1.2</v>
      </c>
      <c r="B3" s="1">
        <v>8.6</v>
      </c>
      <c r="D3" s="2">
        <f t="shared" si="1"/>
        <v>6.943983145</v>
      </c>
      <c r="E3" s="2">
        <f t="shared" si="2"/>
        <v>2.742391825</v>
      </c>
      <c r="F3" s="2">
        <f t="shared" si="3"/>
        <v>1.656016855</v>
      </c>
      <c r="G3" s="2">
        <f t="shared" si="4"/>
        <v>1.987220226</v>
      </c>
    </row>
    <row r="4">
      <c r="A4" s="1">
        <v>1.0</v>
      </c>
      <c r="B4" s="1">
        <v>8.0</v>
      </c>
      <c r="D4" s="2">
        <f t="shared" si="1"/>
        <v>6.394943672</v>
      </c>
      <c r="E4" s="2">
        <f t="shared" si="2"/>
        <v>2.576205815</v>
      </c>
      <c r="F4" s="2">
        <f t="shared" si="3"/>
        <v>1.605056328</v>
      </c>
      <c r="G4" s="2">
        <f t="shared" si="4"/>
        <v>1.605056328</v>
      </c>
    </row>
    <row r="5">
      <c r="A5" s="1">
        <v>1.4</v>
      </c>
      <c r="B5" s="1">
        <v>9.2</v>
      </c>
      <c r="D5" s="2">
        <f t="shared" si="1"/>
        <v>7.493022617</v>
      </c>
      <c r="E5" s="2">
        <f t="shared" si="2"/>
        <v>2.913771785</v>
      </c>
      <c r="F5" s="2">
        <f t="shared" si="3"/>
        <v>1.706977383</v>
      </c>
      <c r="G5" s="2">
        <f t="shared" si="4"/>
        <v>2.389768336</v>
      </c>
    </row>
    <row r="6">
      <c r="A6" s="1">
        <v>-1.5</v>
      </c>
      <c r="B6" s="1">
        <v>0.5</v>
      </c>
      <c r="D6" s="2">
        <f t="shared" si="1"/>
        <v>-0.4680497328</v>
      </c>
      <c r="E6" s="2">
        <f t="shared" si="2"/>
        <v>0.9371202852</v>
      </c>
      <c r="F6" s="2">
        <f t="shared" si="3"/>
        <v>0.9680497328</v>
      </c>
      <c r="G6" s="2">
        <f t="shared" si="4"/>
        <v>-1.452074599</v>
      </c>
    </row>
    <row r="7">
      <c r="A7" s="1">
        <v>0.5</v>
      </c>
      <c r="B7" s="1">
        <v>6.5</v>
      </c>
      <c r="D7" s="2">
        <f t="shared" si="1"/>
        <v>5.022344991</v>
      </c>
      <c r="E7" s="2">
        <f t="shared" si="2"/>
        <v>2.183464325</v>
      </c>
      <c r="F7" s="2">
        <f t="shared" si="3"/>
        <v>1.477655009</v>
      </c>
      <c r="G7" s="2">
        <f t="shared" si="4"/>
        <v>0.7388275043</v>
      </c>
    </row>
    <row r="8">
      <c r="A8" s="1">
        <v>-0.5</v>
      </c>
      <c r="B8" s="1">
        <v>3.5</v>
      </c>
      <c r="D8" s="2">
        <f t="shared" si="1"/>
        <v>2.277147629</v>
      </c>
      <c r="E8" s="2">
        <f t="shared" si="2"/>
        <v>1.495367921</v>
      </c>
      <c r="F8" s="2">
        <f t="shared" si="3"/>
        <v>1.222852371</v>
      </c>
      <c r="G8" s="2">
        <f t="shared" si="4"/>
        <v>-0.6114261854</v>
      </c>
    </row>
    <row r="10">
      <c r="A10" s="1" t="s">
        <v>6</v>
      </c>
      <c r="B10" s="2">
        <v>2.745197362094657</v>
      </c>
      <c r="C10" s="1" t="s">
        <v>7</v>
      </c>
      <c r="D10" s="2">
        <f>AVERAGE(E2:E8)/2</f>
        <v>1.057980231</v>
      </c>
      <c r="E10" s="1" t="s">
        <v>8</v>
      </c>
      <c r="F10" s="2">
        <f>-AVERAGE(G2:G8)</f>
        <v>-0.7053734933</v>
      </c>
      <c r="G10" s="1" t="s">
        <v>9</v>
      </c>
      <c r="H10" s="2">
        <f>B10 - (D11*F10)</f>
        <v>2.886272061</v>
      </c>
    </row>
    <row r="11">
      <c r="A11" s="1" t="s">
        <v>10</v>
      </c>
      <c r="B11" s="2">
        <v>3.649746310304119</v>
      </c>
      <c r="C11" s="1" t="s">
        <v>11</v>
      </c>
      <c r="D11" s="1">
        <v>0.2</v>
      </c>
      <c r="E11" s="1" t="s">
        <v>12</v>
      </c>
      <c r="F11" s="2">
        <f>-AVERAGE(F2:F8)</f>
        <v>-1.433974556</v>
      </c>
      <c r="G11" s="1" t="s">
        <v>13</v>
      </c>
      <c r="H11" s="2">
        <f>B11 - (D11*F11)</f>
        <v>3.936541222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>
      <c r="A2" s="1">
        <v>0.2</v>
      </c>
      <c r="B2" s="1">
        <v>5.6</v>
      </c>
      <c r="D2" s="2">
        <f t="shared" ref="D2:D8" si="1">($B$10*A2)+$B$11</f>
        <v>4.513795634</v>
      </c>
      <c r="E2" s="2">
        <f t="shared" ref="E2:E8" si="2">F2*F2</f>
        <v>1.179839925</v>
      </c>
      <c r="F2" s="2">
        <f t="shared" ref="F2:F8" si="3">B2-D2</f>
        <v>1.086204366</v>
      </c>
      <c r="G2" s="2">
        <f t="shared" ref="G2:G8" si="4">F2*A2</f>
        <v>0.2172408733</v>
      </c>
    </row>
    <row r="3">
      <c r="A3" s="1">
        <v>1.2</v>
      </c>
      <c r="B3" s="1">
        <v>8.6</v>
      </c>
      <c r="D3" s="2">
        <f t="shared" si="1"/>
        <v>7.400067694</v>
      </c>
      <c r="E3" s="2">
        <f t="shared" si="2"/>
        <v>1.439837538</v>
      </c>
      <c r="F3" s="2">
        <f t="shared" si="3"/>
        <v>1.199932306</v>
      </c>
      <c r="G3" s="2">
        <f t="shared" si="4"/>
        <v>1.439918767</v>
      </c>
    </row>
    <row r="4">
      <c r="A4" s="1">
        <v>1.0</v>
      </c>
      <c r="B4" s="1">
        <v>8.0</v>
      </c>
      <c r="D4" s="2">
        <f t="shared" si="1"/>
        <v>6.822813282</v>
      </c>
      <c r="E4" s="2">
        <f t="shared" si="2"/>
        <v>1.385768568</v>
      </c>
      <c r="F4" s="2">
        <f t="shared" si="3"/>
        <v>1.177186718</v>
      </c>
      <c r="G4" s="2">
        <f t="shared" si="4"/>
        <v>1.177186718</v>
      </c>
    </row>
    <row r="5">
      <c r="A5" s="1">
        <v>1.4</v>
      </c>
      <c r="B5" s="1">
        <v>9.2</v>
      </c>
      <c r="D5" s="2">
        <f t="shared" si="1"/>
        <v>7.977322107</v>
      </c>
      <c r="E5" s="2">
        <f t="shared" si="2"/>
        <v>1.494941231</v>
      </c>
      <c r="F5" s="2">
        <f t="shared" si="3"/>
        <v>1.222677893</v>
      </c>
      <c r="G5" s="2">
        <f t="shared" si="4"/>
        <v>1.711749051</v>
      </c>
    </row>
    <row r="6">
      <c r="A6" s="1">
        <v>-1.5</v>
      </c>
      <c r="B6" s="1">
        <v>0.5</v>
      </c>
      <c r="D6" s="2">
        <f t="shared" si="1"/>
        <v>-0.3928668695</v>
      </c>
      <c r="E6" s="2">
        <f t="shared" si="2"/>
        <v>0.7972112467</v>
      </c>
      <c r="F6" s="2">
        <f t="shared" si="3"/>
        <v>0.8928668695</v>
      </c>
      <c r="G6" s="2">
        <f t="shared" si="4"/>
        <v>-1.339300304</v>
      </c>
    </row>
    <row r="7">
      <c r="A7" s="1">
        <v>0.5</v>
      </c>
      <c r="B7" s="1">
        <v>6.5</v>
      </c>
      <c r="D7" s="2">
        <f t="shared" si="1"/>
        <v>5.379677252</v>
      </c>
      <c r="E7" s="2">
        <f t="shared" si="2"/>
        <v>1.25512306</v>
      </c>
      <c r="F7" s="2">
        <f t="shared" si="3"/>
        <v>1.120322748</v>
      </c>
      <c r="G7" s="2">
        <f t="shared" si="4"/>
        <v>0.560161374</v>
      </c>
    </row>
    <row r="8">
      <c r="A8" s="1">
        <v>-0.5</v>
      </c>
      <c r="B8" s="1">
        <v>3.5</v>
      </c>
      <c r="D8" s="2">
        <f t="shared" si="1"/>
        <v>2.493405191</v>
      </c>
      <c r="E8" s="2">
        <f t="shared" si="2"/>
        <v>1.013233109</v>
      </c>
      <c r="F8" s="2">
        <f t="shared" si="3"/>
        <v>1.006594809</v>
      </c>
      <c r="G8" s="2">
        <f t="shared" si="4"/>
        <v>-0.5032974044</v>
      </c>
    </row>
    <row r="10">
      <c r="A10" s="1" t="s">
        <v>6</v>
      </c>
      <c r="B10" s="2">
        <v>2.8862720607472268</v>
      </c>
      <c r="C10" s="1" t="s">
        <v>7</v>
      </c>
      <c r="D10" s="2">
        <f>AVERAGE(E2:E8)/2</f>
        <v>0.6118539056</v>
      </c>
      <c r="E10" s="1" t="s">
        <v>8</v>
      </c>
      <c r="F10" s="2">
        <f>-AVERAGE(G2:G8)</f>
        <v>-0.4662370105</v>
      </c>
      <c r="G10" s="1" t="s">
        <v>9</v>
      </c>
      <c r="H10" s="2">
        <f>B10 - (D11*F10)</f>
        <v>2.979519463</v>
      </c>
    </row>
    <row r="11">
      <c r="A11" s="1" t="s">
        <v>10</v>
      </c>
      <c r="B11" s="2">
        <v>3.9365412215913604</v>
      </c>
      <c r="C11" s="1" t="s">
        <v>11</v>
      </c>
      <c r="D11" s="1">
        <v>0.2</v>
      </c>
      <c r="E11" s="1" t="s">
        <v>12</v>
      </c>
      <c r="F11" s="2">
        <f>-AVERAGE(F2:F8)</f>
        <v>-1.10082653</v>
      </c>
      <c r="G11" s="1" t="s">
        <v>13</v>
      </c>
      <c r="H11" s="2">
        <f>B11 - (D11*F11)</f>
        <v>4.156706528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>
      <c r="A2" s="1">
        <v>0.2</v>
      </c>
      <c r="B2" s="1">
        <v>5.6</v>
      </c>
      <c r="D2" s="2">
        <f t="shared" ref="D2:D8" si="1">($B$10*A2)+$B$11</f>
        <v>4.75261042</v>
      </c>
      <c r="E2" s="2">
        <f t="shared" ref="E2:E8" si="2">F2*F2</f>
        <v>0.7180691001</v>
      </c>
      <c r="F2" s="2">
        <f t="shared" ref="F2:F8" si="3">B2-D2</f>
        <v>0.8473895799</v>
      </c>
      <c r="G2" s="2">
        <f t="shared" ref="G2:G8" si="4">F2*A2</f>
        <v>0.169477916</v>
      </c>
    </row>
    <row r="3">
      <c r="A3" s="1">
        <v>1.2</v>
      </c>
      <c r="B3" s="1">
        <v>8.6</v>
      </c>
      <c r="D3" s="2">
        <f t="shared" si="1"/>
        <v>7.732129883</v>
      </c>
      <c r="E3" s="2">
        <f t="shared" si="2"/>
        <v>0.75319854</v>
      </c>
      <c r="F3" s="2">
        <f t="shared" si="3"/>
        <v>0.867870117</v>
      </c>
      <c r="G3" s="2">
        <f t="shared" si="4"/>
        <v>1.04144414</v>
      </c>
    </row>
    <row r="4">
      <c r="A4" s="1">
        <v>1.0</v>
      </c>
      <c r="B4" s="1">
        <v>8.0</v>
      </c>
      <c r="D4" s="2">
        <f t="shared" si="1"/>
        <v>7.13622599</v>
      </c>
      <c r="E4" s="2">
        <f t="shared" si="2"/>
        <v>0.7461055396</v>
      </c>
      <c r="F4" s="2">
        <f t="shared" si="3"/>
        <v>0.8637740096</v>
      </c>
      <c r="G4" s="2">
        <f t="shared" si="4"/>
        <v>0.8637740096</v>
      </c>
    </row>
    <row r="5">
      <c r="A5" s="1">
        <v>1.4</v>
      </c>
      <c r="B5" s="1">
        <v>9.2</v>
      </c>
      <c r="D5" s="2">
        <f t="shared" si="1"/>
        <v>8.328033776</v>
      </c>
      <c r="E5" s="2">
        <f t="shared" si="2"/>
        <v>0.7603250966</v>
      </c>
      <c r="F5" s="2">
        <f t="shared" si="3"/>
        <v>0.8719662244</v>
      </c>
      <c r="G5" s="2">
        <f t="shared" si="4"/>
        <v>1.220752714</v>
      </c>
    </row>
    <row r="6">
      <c r="A6" s="1">
        <v>-1.5</v>
      </c>
      <c r="B6" s="1">
        <v>0.5</v>
      </c>
      <c r="D6" s="2">
        <f t="shared" si="1"/>
        <v>-0.3125726667</v>
      </c>
      <c r="E6" s="2">
        <f t="shared" si="2"/>
        <v>0.6602743387</v>
      </c>
      <c r="F6" s="2">
        <f t="shared" si="3"/>
        <v>0.8125726667</v>
      </c>
      <c r="G6" s="2">
        <f t="shared" si="4"/>
        <v>-1.218859</v>
      </c>
    </row>
    <row r="7">
      <c r="A7" s="1">
        <v>0.5</v>
      </c>
      <c r="B7" s="1">
        <v>6.5</v>
      </c>
      <c r="D7" s="2">
        <f t="shared" si="1"/>
        <v>5.646466259</v>
      </c>
      <c r="E7" s="2">
        <f t="shared" si="2"/>
        <v>0.728519847</v>
      </c>
      <c r="F7" s="2">
        <f t="shared" si="3"/>
        <v>0.853533741</v>
      </c>
      <c r="G7" s="2">
        <f t="shared" si="4"/>
        <v>0.4267668705</v>
      </c>
    </row>
    <row r="8">
      <c r="A8" s="1">
        <v>-0.5</v>
      </c>
      <c r="B8" s="1">
        <v>3.5</v>
      </c>
      <c r="D8" s="2">
        <f t="shared" si="1"/>
        <v>2.666946796</v>
      </c>
      <c r="E8" s="2">
        <f t="shared" si="2"/>
        <v>0.6939776405</v>
      </c>
      <c r="F8" s="2">
        <f t="shared" si="3"/>
        <v>0.8330532039</v>
      </c>
      <c r="G8" s="2">
        <f t="shared" si="4"/>
        <v>-0.4165266019</v>
      </c>
    </row>
    <row r="10">
      <c r="A10" s="1" t="s">
        <v>6</v>
      </c>
      <c r="B10" s="2">
        <v>2.97951946284915</v>
      </c>
      <c r="C10" s="1" t="s">
        <v>7</v>
      </c>
      <c r="D10" s="2">
        <f>AVERAGE(E2:E8)/2</f>
        <v>0.3614621502</v>
      </c>
      <c r="E10" s="1" t="s">
        <v>8</v>
      </c>
      <c r="F10" s="2">
        <f>-AVERAGE(G2:G8)</f>
        <v>-0.2981185784</v>
      </c>
      <c r="G10" s="1" t="s">
        <v>9</v>
      </c>
      <c r="H10" s="2">
        <f>B10 - (D11*F10)</f>
        <v>3.039143179</v>
      </c>
    </row>
    <row r="11">
      <c r="A11" s="1" t="s">
        <v>10</v>
      </c>
      <c r="B11" s="2">
        <v>4.156706527566842</v>
      </c>
      <c r="C11" s="1" t="s">
        <v>11</v>
      </c>
      <c r="D11" s="1">
        <v>0.2</v>
      </c>
      <c r="E11" s="1" t="s">
        <v>12</v>
      </c>
      <c r="F11" s="2">
        <f>-AVERAGE(F2:F8)</f>
        <v>-0.8500227918</v>
      </c>
      <c r="G11" s="1" t="s">
        <v>13</v>
      </c>
      <c r="H11" s="2">
        <f>B11 - (D11*F11)</f>
        <v>4.326711086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>
      <c r="A2" s="1">
        <v>0.2</v>
      </c>
      <c r="B2" s="1">
        <v>5.6</v>
      </c>
      <c r="D2" s="2">
        <f t="shared" ref="D2:D8" si="1">($B$10*A2)+$B$11</f>
        <v>4.934539722</v>
      </c>
      <c r="E2" s="2">
        <f t="shared" ref="E2:E8" si="2">F2*F2</f>
        <v>0.4428373821</v>
      </c>
      <c r="F2" s="2">
        <f t="shared" ref="F2:F8" si="3">B2-D2</f>
        <v>0.6654602784</v>
      </c>
      <c r="G2" s="2">
        <f t="shared" ref="G2:G8" si="4">F2*A2</f>
        <v>0.1330920557</v>
      </c>
    </row>
    <row r="3">
      <c r="A3" s="1">
        <v>1.2</v>
      </c>
      <c r="B3" s="1">
        <v>8.6</v>
      </c>
      <c r="D3" s="2">
        <f t="shared" si="1"/>
        <v>7.9736829</v>
      </c>
      <c r="E3" s="2">
        <f t="shared" si="2"/>
        <v>0.3922731096</v>
      </c>
      <c r="F3" s="2">
        <f t="shared" si="3"/>
        <v>0.6263170998</v>
      </c>
      <c r="G3" s="2">
        <f t="shared" si="4"/>
        <v>0.7515805198</v>
      </c>
    </row>
    <row r="4">
      <c r="A4" s="1">
        <v>1.0</v>
      </c>
      <c r="B4" s="1">
        <v>8.0</v>
      </c>
      <c r="D4" s="2">
        <f t="shared" si="1"/>
        <v>7.365854264</v>
      </c>
      <c r="E4" s="2">
        <f t="shared" si="2"/>
        <v>0.4021408139</v>
      </c>
      <c r="F4" s="2">
        <f t="shared" si="3"/>
        <v>0.6341457356</v>
      </c>
      <c r="G4" s="2">
        <f t="shared" si="4"/>
        <v>0.6341457356</v>
      </c>
    </row>
    <row r="5">
      <c r="A5" s="1">
        <v>1.4</v>
      </c>
      <c r="B5" s="1">
        <v>9.2</v>
      </c>
      <c r="D5" s="2">
        <f t="shared" si="1"/>
        <v>8.581511536</v>
      </c>
      <c r="E5" s="2">
        <f t="shared" si="2"/>
        <v>0.3825279803</v>
      </c>
      <c r="F5" s="2">
        <f t="shared" si="3"/>
        <v>0.6184884641</v>
      </c>
      <c r="G5" s="2">
        <f t="shared" si="4"/>
        <v>0.8658838498</v>
      </c>
    </row>
    <row r="6">
      <c r="A6" s="1">
        <v>-1.5</v>
      </c>
      <c r="B6" s="1">
        <v>0.5</v>
      </c>
      <c r="D6" s="2">
        <f t="shared" si="1"/>
        <v>-0.2320036819</v>
      </c>
      <c r="E6" s="2">
        <f t="shared" si="2"/>
        <v>0.5358293903</v>
      </c>
      <c r="F6" s="2">
        <f t="shared" si="3"/>
        <v>0.7320036819</v>
      </c>
      <c r="G6" s="2">
        <f t="shared" si="4"/>
        <v>-1.098005523</v>
      </c>
    </row>
    <row r="7">
      <c r="A7" s="1">
        <v>0.5</v>
      </c>
      <c r="B7" s="1">
        <v>6.5</v>
      </c>
      <c r="D7" s="2">
        <f t="shared" si="1"/>
        <v>5.846282675</v>
      </c>
      <c r="E7" s="2">
        <f t="shared" si="2"/>
        <v>0.4273463408</v>
      </c>
      <c r="F7" s="2">
        <f t="shared" si="3"/>
        <v>0.6537173248</v>
      </c>
      <c r="G7" s="2">
        <f t="shared" si="4"/>
        <v>0.3268586624</v>
      </c>
    </row>
    <row r="8">
      <c r="A8" s="1">
        <v>-0.5</v>
      </c>
      <c r="B8" s="1">
        <v>3.5</v>
      </c>
      <c r="D8" s="2">
        <f t="shared" si="1"/>
        <v>2.807139497</v>
      </c>
      <c r="E8" s="2">
        <f t="shared" si="2"/>
        <v>0.4800556771</v>
      </c>
      <c r="F8" s="2">
        <f t="shared" si="3"/>
        <v>0.6928605033</v>
      </c>
      <c r="G8" s="2">
        <f t="shared" si="4"/>
        <v>-0.3464302517</v>
      </c>
    </row>
    <row r="10">
      <c r="A10" s="1" t="s">
        <v>6</v>
      </c>
      <c r="B10" s="2">
        <v>3.0391431785266034</v>
      </c>
      <c r="C10" s="1" t="s">
        <v>7</v>
      </c>
      <c r="D10" s="2">
        <f>AVERAGE(E2:E8)/2</f>
        <v>0.2187864781</v>
      </c>
      <c r="E10" s="1" t="s">
        <v>8</v>
      </c>
      <c r="F10" s="2">
        <f>-AVERAGE(G2:G8)</f>
        <v>-0.1810178641</v>
      </c>
      <c r="G10" s="1" t="s">
        <v>9</v>
      </c>
      <c r="H10" s="2">
        <f>B10 - (D11*F10)</f>
        <v>3.075346751</v>
      </c>
    </row>
    <row r="11">
      <c r="A11" s="1" t="s">
        <v>10</v>
      </c>
      <c r="B11" s="2">
        <v>4.326711085923386</v>
      </c>
      <c r="C11" s="1" t="s">
        <v>11</v>
      </c>
      <c r="D11" s="1">
        <v>0.2</v>
      </c>
      <c r="E11" s="1" t="s">
        <v>12</v>
      </c>
      <c r="F11" s="2">
        <f>-AVERAGE(F2:F8)</f>
        <v>-0.660427584</v>
      </c>
      <c r="G11" s="1" t="s">
        <v>13</v>
      </c>
      <c r="H11" s="2">
        <f>B11 - (D11*F11)</f>
        <v>4.458796603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>
      <c r="A2" s="1">
        <v>0.2</v>
      </c>
      <c r="B2" s="1">
        <v>5.6</v>
      </c>
      <c r="D2" s="2">
        <f t="shared" ref="D2:D8" si="1">($B$10*A2)+$B$11</f>
        <v>5.073865953</v>
      </c>
      <c r="E2" s="2">
        <f t="shared" ref="E2:E8" si="2">F2*F2</f>
        <v>0.2768170354</v>
      </c>
      <c r="F2" s="2">
        <f t="shared" ref="F2:F8" si="3">B2-D2</f>
        <v>0.526134047</v>
      </c>
      <c r="G2" s="2">
        <f t="shared" ref="G2:G8" si="4">F2*A2</f>
        <v>0.1052268094</v>
      </c>
    </row>
    <row r="3">
      <c r="A3" s="1">
        <v>1.2</v>
      </c>
      <c r="B3" s="1">
        <v>8.6</v>
      </c>
      <c r="D3" s="2">
        <f t="shared" si="1"/>
        <v>8.149212704</v>
      </c>
      <c r="E3" s="2">
        <f t="shared" si="2"/>
        <v>0.2032091859</v>
      </c>
      <c r="F3" s="2">
        <f t="shared" si="3"/>
        <v>0.4507872957</v>
      </c>
      <c r="G3" s="2">
        <f t="shared" si="4"/>
        <v>0.5409447548</v>
      </c>
    </row>
    <row r="4">
      <c r="A4" s="1">
        <v>1.0</v>
      </c>
      <c r="B4" s="1">
        <v>8.0</v>
      </c>
      <c r="D4" s="2">
        <f t="shared" si="1"/>
        <v>7.534143354</v>
      </c>
      <c r="E4" s="2">
        <f t="shared" si="2"/>
        <v>0.2170224146</v>
      </c>
      <c r="F4" s="2">
        <f t="shared" si="3"/>
        <v>0.4658566459</v>
      </c>
      <c r="G4" s="2">
        <f t="shared" si="4"/>
        <v>0.4658566459</v>
      </c>
    </row>
    <row r="5">
      <c r="A5" s="1">
        <v>1.4</v>
      </c>
      <c r="B5" s="1">
        <v>9.2</v>
      </c>
      <c r="D5" s="2">
        <f t="shared" si="1"/>
        <v>8.764282055</v>
      </c>
      <c r="E5" s="2">
        <f t="shared" si="2"/>
        <v>0.1898501279</v>
      </c>
      <c r="F5" s="2">
        <f t="shared" si="3"/>
        <v>0.4357179454</v>
      </c>
      <c r="G5" s="2">
        <f t="shared" si="4"/>
        <v>0.6100051235</v>
      </c>
    </row>
    <row r="6">
      <c r="A6" s="1">
        <v>-1.5</v>
      </c>
      <c r="B6" s="1">
        <v>0.5</v>
      </c>
      <c r="D6" s="2">
        <f t="shared" si="1"/>
        <v>-0.1542235243</v>
      </c>
      <c r="E6" s="2">
        <f t="shared" si="2"/>
        <v>0.4280084197</v>
      </c>
      <c r="F6" s="2">
        <f t="shared" si="3"/>
        <v>0.6542235243</v>
      </c>
      <c r="G6" s="2">
        <f t="shared" si="4"/>
        <v>-0.9813352865</v>
      </c>
    </row>
    <row r="7">
      <c r="A7" s="1">
        <v>0.5</v>
      </c>
      <c r="B7" s="1">
        <v>6.5</v>
      </c>
      <c r="D7" s="2">
        <f t="shared" si="1"/>
        <v>5.996469978</v>
      </c>
      <c r="E7" s="2">
        <f t="shared" si="2"/>
        <v>0.2535424827</v>
      </c>
      <c r="F7" s="2">
        <f t="shared" si="3"/>
        <v>0.5035300216</v>
      </c>
      <c r="G7" s="2">
        <f t="shared" si="4"/>
        <v>0.2517650108</v>
      </c>
    </row>
    <row r="8">
      <c r="A8" s="1">
        <v>-0.5</v>
      </c>
      <c r="B8" s="1">
        <v>3.5</v>
      </c>
      <c r="D8" s="2">
        <f t="shared" si="1"/>
        <v>2.921123227</v>
      </c>
      <c r="E8" s="2">
        <f t="shared" si="2"/>
        <v>0.3350983183</v>
      </c>
      <c r="F8" s="2">
        <f t="shared" si="3"/>
        <v>0.578876773</v>
      </c>
      <c r="G8" s="2">
        <f t="shared" si="4"/>
        <v>-0.2894383865</v>
      </c>
    </row>
    <row r="10">
      <c r="A10" s="1" t="s">
        <v>6</v>
      </c>
      <c r="B10" s="2">
        <v>3.0753467513486017</v>
      </c>
      <c r="C10" s="1" t="s">
        <v>7</v>
      </c>
      <c r="D10" s="2">
        <f>AVERAGE(E2:E8)/2</f>
        <v>0.1359677132</v>
      </c>
      <c r="E10" s="1" t="s">
        <v>8</v>
      </c>
      <c r="F10" s="2">
        <f>-AVERAGE(G2:G8)</f>
        <v>-0.1004320959</v>
      </c>
      <c r="G10" s="1" t="s">
        <v>9</v>
      </c>
      <c r="H10" s="2">
        <f>B10 - (D11*F10)</f>
        <v>3.095433171</v>
      </c>
    </row>
    <row r="11">
      <c r="A11" s="1" t="s">
        <v>10</v>
      </c>
      <c r="B11" s="2">
        <v>4.458796602721247</v>
      </c>
      <c r="C11" s="1" t="s">
        <v>11</v>
      </c>
      <c r="D11" s="1">
        <v>0.2</v>
      </c>
      <c r="E11" s="1" t="s">
        <v>12</v>
      </c>
      <c r="F11" s="2">
        <f>-AVERAGE(F2:F8)</f>
        <v>-0.5164466075</v>
      </c>
      <c r="G11" s="1" t="s">
        <v>13</v>
      </c>
      <c r="H11" s="2">
        <f>B11 - (D11*F11)</f>
        <v>4.562085924</v>
      </c>
    </row>
  </sheetData>
  <drawing r:id="rId1"/>
</worksheet>
</file>